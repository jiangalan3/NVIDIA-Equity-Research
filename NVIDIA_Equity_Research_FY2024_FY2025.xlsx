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lanjiang/Desktop/UTD/Resume/"/>
    </mc:Choice>
  </mc:AlternateContent>
  <xr:revisionPtr revIDLastSave="0" documentId="13_ncr:1_{5045C69C-16AB-A14A-BDD7-2797EC53714D}" xr6:coauthVersionLast="47" xr6:coauthVersionMax="47" xr10:uidLastSave="{00000000-0000-0000-0000-000000000000}"/>
  <bookViews>
    <workbookView xWindow="0" yWindow="880" windowWidth="36000" windowHeight="20980" xr2:uid="{00000000-000D-0000-FFFF-FFFF00000000}"/>
  </bookViews>
  <sheets>
    <sheet name="Summary" sheetId="1" r:id="rId1"/>
    <sheet name="Financials" sheetId="2" r:id="rId2"/>
    <sheet name="Revenue Mix" sheetId="3" r:id="rId3"/>
    <sheet name="Investment Thesis" sheetId="4" r:id="rId4"/>
    <sheet name="Sour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H8" i="3"/>
  <c r="G8" i="3"/>
  <c r="D8" i="3"/>
  <c r="H7" i="3"/>
  <c r="G7" i="3"/>
  <c r="D7" i="3"/>
  <c r="H6" i="3"/>
  <c r="G6" i="3"/>
  <c r="D6" i="3"/>
  <c r="H5" i="3"/>
  <c r="G5" i="3"/>
  <c r="D5" i="3"/>
  <c r="H4" i="3"/>
  <c r="G4" i="3"/>
  <c r="D4" i="3"/>
  <c r="C15" i="2"/>
  <c r="D15" i="2" s="1"/>
  <c r="B15" i="2"/>
  <c r="C14" i="2"/>
  <c r="D14" i="2" s="1"/>
  <c r="B14" i="2"/>
  <c r="D13" i="2"/>
  <c r="C13" i="2"/>
  <c r="B8" i="1" s="1"/>
  <c r="B13" i="2"/>
  <c r="C12" i="2"/>
  <c r="D12" i="2" s="1"/>
  <c r="B12" i="2"/>
  <c r="D9" i="2"/>
  <c r="D8" i="2"/>
  <c r="E7" i="1" s="1"/>
  <c r="D7" i="2"/>
  <c r="E6" i="1" s="1"/>
  <c r="D6" i="2"/>
  <c r="D5" i="2"/>
  <c r="D4" i="2"/>
  <c r="B7" i="1" s="1"/>
  <c r="E9" i="1"/>
  <c r="B9" i="1"/>
  <c r="E8" i="1"/>
  <c r="B6" i="1"/>
</calcChain>
</file>

<file path=xl/sharedStrings.xml><?xml version="1.0" encoding="utf-8"?>
<sst xmlns="http://schemas.openxmlformats.org/spreadsheetml/2006/main" count="90" uniqueCount="76">
  <si>
    <t>NVIDIA Equity Research &amp; Financial Analysis | FY2024–FY2025</t>
  </si>
  <si>
    <t>Executive Dashboard</t>
  </si>
  <si>
    <t>Key Metric</t>
  </si>
  <si>
    <t>FY2025</t>
  </si>
  <si>
    <t>Growth Metric</t>
  </si>
  <si>
    <t>FY25 vs FY24</t>
  </si>
  <si>
    <t>Revenue ($mm)</t>
  </si>
  <si>
    <t>Operating Income Growth</t>
  </si>
  <si>
    <t>Revenue Growth</t>
  </si>
  <si>
    <t>Net Income Growth</t>
  </si>
  <si>
    <t>Operating Margin</t>
  </si>
  <si>
    <t>Data Center Growth</t>
  </si>
  <si>
    <t>Net Margin</t>
  </si>
  <si>
    <t>Gaming Growth</t>
  </si>
  <si>
    <t>Key Takeaways</t>
  </si>
  <si>
    <t>• Revenue increased from $60.9B in FY2024 to $130.5B in FY2025, a 114% increase.</t>
  </si>
  <si>
    <t>• Net income increased from $29.8B to $72.9B, substantially outpacing revenue growth.</t>
  </si>
  <si>
    <t>• Data Center was the primary growth engine, rising from $47.5B to $115.2B.</t>
  </si>
  <si>
    <t>• GAAP gross margin expanded from 72.7% to 75.0%.</t>
  </si>
  <si>
    <t>• The analysis highlights exceptional AI-driven growth, while Data Center concentration remains an important risk to monitor.</t>
  </si>
  <si>
    <t>NVIDIA Historical Financial Analysis</t>
  </si>
  <si>
    <t>Metric ($mm except EPS)</t>
  </si>
  <si>
    <t>FY2024</t>
  </si>
  <si>
    <t>YoY Growth</t>
  </si>
  <si>
    <t>Revenue</t>
  </si>
  <si>
    <t>Gross Profit</t>
  </si>
  <si>
    <t>Operating Expenses</t>
  </si>
  <si>
    <t>Operating Income</t>
  </si>
  <si>
    <t>Net Income</t>
  </si>
  <si>
    <t>Diluted EPS ($, split-adjusted)</t>
  </si>
  <si>
    <t>Profitability</t>
  </si>
  <si>
    <t>Change</t>
  </si>
  <si>
    <t>Gross Margin</t>
  </si>
  <si>
    <t>Operating Expense % Revenue</t>
  </si>
  <si>
    <t>Source Notes</t>
  </si>
  <si>
    <t>NVIDIA FY2024 results</t>
  </si>
  <si>
    <t>https://investor.nvidia.com/news/press-release-details/2024/NVIDIA-Announces-Financial-Results-for-Fourth-Quarter-and-Fiscal-2024/</t>
  </si>
  <si>
    <t>NVIDIA FY2025 results</t>
  </si>
  <si>
    <t>https://investor.nvidia.com/news/press-release-details/2025/NVIDIA-Announces-Financial-Results-for-Fourth-Quarter-and-Fiscal-2025/default.aspx</t>
  </si>
  <si>
    <t>NVIDIA Revenue by Market Platform</t>
  </si>
  <si>
    <t>Market Platform ($mm)</t>
  </si>
  <si>
    <t>Revenue Mix</t>
  </si>
  <si>
    <t>Data Center</t>
  </si>
  <si>
    <t>Data Center %</t>
  </si>
  <si>
    <t>Gaming</t>
  </si>
  <si>
    <t>Gaming %</t>
  </si>
  <si>
    <t>Professional Visualization</t>
  </si>
  <si>
    <t>Pro Viz %</t>
  </si>
  <si>
    <t>Automotive</t>
  </si>
  <si>
    <t>Automotive %</t>
  </si>
  <si>
    <t>OEM and Other</t>
  </si>
  <si>
    <t>OEM &amp; Other %</t>
  </si>
  <si>
    <t>Total Revenue</t>
  </si>
  <si>
    <t>Investment Thesis — NVIDIA FY2024–FY2025</t>
  </si>
  <si>
    <t>Bull Case</t>
  </si>
  <si>
    <t>• AI infrastructure demand drove extraordinary Data Center expansion in FY2025.</t>
  </si>
  <si>
    <t>• Revenue more than doubled while operating income and net income grew even faster.</t>
  </si>
  <si>
    <t>• High gross margins indicate substantial economic value in NVIDIA's accelerated-computing platform.</t>
  </si>
  <si>
    <t>Key Risks</t>
  </si>
  <si>
    <t>• A very large share of growth is tied to Data Center and AI infrastructure spending.</t>
  </si>
  <si>
    <t>• Competition, customer concentration, supply constraints, export restrictions, and rapid technology shifts can affect future growth.</t>
  </si>
  <si>
    <t>• Exceptional historical growth rates should not automatically be assumed to continue indefinitely.</t>
  </si>
  <si>
    <t>Analyst Conclusion</t>
  </si>
  <si>
    <t>• FY2025 represented a major step-up in NVIDIA's scale and profitability.</t>
  </si>
  <si>
    <t>• The strongest evidence is 114% revenue growth, 147% operating-income growth, and 145% net-income growth.</t>
  </si>
  <si>
    <t>• A next step would be adding valuation work such as DCF and comparable-company analysis.</t>
  </si>
  <si>
    <t>Source</t>
  </si>
  <si>
    <t>Use</t>
  </si>
  <si>
    <t>URL</t>
  </si>
  <si>
    <t>NVIDIA FY2025 Results</t>
  </si>
  <si>
    <t>FY2025/FY2024 GAAP summary and market-platform revenue</t>
  </si>
  <si>
    <t>NVIDIA FY2024 Results</t>
  </si>
  <si>
    <t>Cross-check FY2024 GAAP results</t>
  </si>
  <si>
    <t>NVIDIA Annual Reports</t>
  </si>
  <si>
    <t>Official annual-report archive</t>
  </si>
  <si>
    <t>https://investor.nvidia.com/financial-info/annual-reports-and-proxies/default.aspx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</si>
</sst>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;\-"/>
    <numFmt numFmtId="165" formatCode="\$0.00"/>
    <numFmt numFmtId="166" formatCode="0.0%;[Red]\(0.0%\);\-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name val="Carlito"/>
    </font>
    <font>
      <b/>
      <sz val="11"/>
      <color rgb="FF0000FF"/>
      <name val="Carlito"/>
    </font>
    <font>
      <b/>
      <sz val="16"/>
      <color rgb="FFFFFFFF"/>
      <name val="Carlito"/>
    </font>
    <font>
      <sz val="11"/>
      <color rgb="FF008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166" fontId="0" fillId="0" borderId="0" xfId="0" applyNumberFormat="1"/>
    <xf numFmtId="164" fontId="3" fillId="0" borderId="0" xfId="0" applyNumberFormat="1" applyFont="1"/>
    <xf numFmtId="165" fontId="3" fillId="0" borderId="0" xfId="0" applyNumberFormat="1" applyFont="1"/>
    <xf numFmtId="0" fontId="0" fillId="0" borderId="0" xfId="0" applyAlignment="1">
      <alignment wrapText="1"/>
    </xf>
    <xf numFmtId="0" fontId="4" fillId="0" borderId="1" xfId="0" applyFont="1" applyBorder="1"/>
    <xf numFmtId="164" fontId="5" fillId="0" borderId="1" xfId="0" applyNumberFormat="1" applyFont="1" applyBorder="1"/>
    <xf numFmtId="166" fontId="4" fillId="0" borderId="1" xfId="0" applyNumberFormat="1" applyFont="1" applyBorder="1"/>
    <xf numFmtId="0" fontId="4" fillId="3" borderId="0" xfId="0" applyFont="1" applyFill="1"/>
    <xf numFmtId="164" fontId="7" fillId="0" borderId="0" xfId="0" applyNumberFormat="1" applyFont="1"/>
    <xf numFmtId="166" fontId="7" fillId="0" borderId="0" xfId="0" applyNumberFormat="1" applyFont="1"/>
    <xf numFmtId="0" fontId="2" fillId="2" borderId="0" xfId="0" applyFont="1" applyFill="1" applyAlignment="1">
      <alignment wrapText="1"/>
    </xf>
    <xf numFmtId="0" fontId="6" fillId="2" borderId="0" xfId="0" applyFont="1" applyFill="1"/>
    <xf numFmtId="0" fontId="2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/>
    <xf numFmtId="0" fontId="0" fillId="4" borderId="0" xfId="0" applyFill="1" applyAlignment="1">
      <alignment wrapText="1"/>
    </xf>
    <xf numFmtId="0" fontId="0" fillId="4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Revenue by Market Platform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FY2024</c:v>
          </c:tx>
          <c:marker>
            <c:symbol val="none"/>
          </c:marker>
          <c:cat>
            <c:strRef>
              <c:f>'Revenue Mix'!$A$4:$A$8</c:f>
              <c:strCache>
                <c:ptCount val="5"/>
                <c:pt idx="0">
                  <c:v>Data Center</c:v>
                </c:pt>
                <c:pt idx="1">
                  <c:v>Gaming</c:v>
                </c:pt>
                <c:pt idx="2">
                  <c:v>Professional Visualization</c:v>
                </c:pt>
                <c:pt idx="3">
                  <c:v>Automotive</c:v>
                </c:pt>
                <c:pt idx="4">
                  <c:v>OEM and Other</c:v>
                </c:pt>
              </c:strCache>
            </c:strRef>
          </c:cat>
          <c:val>
            <c:numRef>
              <c:f>'Revenue Mix'!$B$4:$B$8</c:f>
              <c:numCache>
                <c:formatCode>\$#,##0;[Red]\(\$#,##0\);\-</c:formatCode>
                <c:ptCount val="5"/>
                <c:pt idx="0">
                  <c:v>47525</c:v>
                </c:pt>
                <c:pt idx="1">
                  <c:v>10447</c:v>
                </c:pt>
                <c:pt idx="2">
                  <c:v>1553</c:v>
                </c:pt>
                <c:pt idx="3">
                  <c:v>1091</c:v>
                </c:pt>
                <c:pt idx="4">
                  <c:v>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AC-1942-8317-9750E44BEBA9}"/>
            </c:ext>
          </c:extLst>
        </c:ser>
        <c:ser>
          <c:idx val="1"/>
          <c:order val="1"/>
          <c:tx>
            <c:v>FY2025</c:v>
          </c:tx>
          <c:marker>
            <c:symbol val="none"/>
          </c:marker>
          <c:cat>
            <c:strRef>
              <c:f>'Revenue Mix'!$A$4:$A$8</c:f>
              <c:strCache>
                <c:ptCount val="5"/>
                <c:pt idx="0">
                  <c:v>Data Center</c:v>
                </c:pt>
                <c:pt idx="1">
                  <c:v>Gaming</c:v>
                </c:pt>
                <c:pt idx="2">
                  <c:v>Professional Visualization</c:v>
                </c:pt>
                <c:pt idx="3">
                  <c:v>Automotive</c:v>
                </c:pt>
                <c:pt idx="4">
                  <c:v>OEM and Other</c:v>
                </c:pt>
              </c:strCache>
            </c:strRef>
          </c:cat>
          <c:val>
            <c:numRef>
              <c:f>'Revenue Mix'!$C$4:$C$8</c:f>
              <c:numCache>
                <c:formatCode>\$#,##0;[Red]\(\$#,##0\);\-</c:formatCode>
                <c:ptCount val="5"/>
                <c:pt idx="0">
                  <c:v>115186</c:v>
                </c:pt>
                <c:pt idx="1">
                  <c:v>11350</c:v>
                </c:pt>
                <c:pt idx="2">
                  <c:v>1878</c:v>
                </c:pt>
                <c:pt idx="3">
                  <c:v>1694</c:v>
                </c:pt>
                <c:pt idx="4">
                  <c:v>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AC-1942-8317-9750E44BE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150" workbookViewId="0">
      <selection activeCell="B18" sqref="B18"/>
    </sheetView>
  </sheetViews>
  <sheetFormatPr baseColWidth="10" defaultColWidth="8.83203125" defaultRowHeight="14"/>
  <cols>
    <col min="1" max="1" width="24" customWidth="1"/>
    <col min="2" max="3" width="16" customWidth="1"/>
    <col min="4" max="4" width="24" customWidth="1"/>
    <col min="5" max="8" width="16" customWidth="1"/>
  </cols>
  <sheetData>
    <row r="1" spans="1:8" ht="21">
      <c r="A1" s="13" t="s">
        <v>0</v>
      </c>
      <c r="B1" s="13"/>
      <c r="C1" s="13"/>
      <c r="D1" s="13"/>
      <c r="E1" s="13"/>
      <c r="F1" s="13"/>
      <c r="G1" s="13"/>
      <c r="H1" s="13"/>
    </row>
    <row r="3" spans="1:8" ht="15">
      <c r="A3" s="14" t="s">
        <v>1</v>
      </c>
      <c r="B3" s="14"/>
      <c r="C3" s="14"/>
      <c r="D3" s="14"/>
      <c r="E3" s="14"/>
      <c r="F3" s="14"/>
      <c r="G3" s="14"/>
      <c r="H3" s="14"/>
    </row>
    <row r="5" spans="1:8" ht="15">
      <c r="A5" s="9" t="s">
        <v>2</v>
      </c>
      <c r="B5" s="9" t="s">
        <v>3</v>
      </c>
      <c r="D5" s="9" t="s">
        <v>4</v>
      </c>
      <c r="E5" s="9" t="s">
        <v>5</v>
      </c>
    </row>
    <row r="6" spans="1:8">
      <c r="A6" t="s">
        <v>6</v>
      </c>
      <c r="B6" s="10">
        <f>Financials!C4</f>
        <v>130497</v>
      </c>
      <c r="D6" t="s">
        <v>7</v>
      </c>
      <c r="E6" s="11">
        <f>Financials!D7</f>
        <v>1.470368797767803</v>
      </c>
    </row>
    <row r="7" spans="1:8">
      <c r="A7" t="s">
        <v>8</v>
      </c>
      <c r="B7" s="11">
        <f>Financials!D4</f>
        <v>1.1420340763599355</v>
      </c>
      <c r="D7" t="s">
        <v>9</v>
      </c>
      <c r="E7" s="11">
        <f>Financials!D8</f>
        <v>1.4489247311827955</v>
      </c>
    </row>
    <row r="8" spans="1:8">
      <c r="A8" t="s">
        <v>10</v>
      </c>
      <c r="B8" s="11">
        <f>Financials!C13</f>
        <v>0.62417526839697468</v>
      </c>
      <c r="D8" t="s">
        <v>11</v>
      </c>
      <c r="E8" s="11">
        <f>'Revenue Mix'!D4</f>
        <v>1.4236927932667016</v>
      </c>
    </row>
    <row r="9" spans="1:8">
      <c r="A9" t="s">
        <v>12</v>
      </c>
      <c r="B9" s="11">
        <f>Financials!C14</f>
        <v>0.55848027157712443</v>
      </c>
      <c r="D9" t="s">
        <v>13</v>
      </c>
      <c r="E9" s="11">
        <f>'Revenue Mix'!D5</f>
        <v>8.643629750167503E-2</v>
      </c>
    </row>
    <row r="12" spans="1:8" ht="15">
      <c r="A12" s="14" t="s">
        <v>14</v>
      </c>
      <c r="B12" s="14"/>
      <c r="C12" s="14"/>
      <c r="D12" s="14"/>
      <c r="E12" s="14"/>
      <c r="F12" s="14"/>
      <c r="G12" s="14"/>
      <c r="H12" s="14"/>
    </row>
    <row r="13" spans="1:8" ht="37.25" customHeight="1">
      <c r="A13" s="17" t="s">
        <v>15</v>
      </c>
      <c r="B13" s="17"/>
      <c r="C13" s="17"/>
      <c r="D13" s="17"/>
      <c r="E13" s="17"/>
      <c r="F13" s="17"/>
      <c r="G13" s="17"/>
      <c r="H13" s="17"/>
    </row>
    <row r="14" spans="1:8" ht="37.25" customHeight="1">
      <c r="A14" s="18" t="s">
        <v>16</v>
      </c>
      <c r="B14" s="18"/>
      <c r="C14" s="18"/>
      <c r="D14" s="18"/>
      <c r="E14" s="18"/>
      <c r="F14" s="18"/>
      <c r="G14" s="18"/>
      <c r="H14" s="18"/>
    </row>
    <row r="15" spans="1:8" ht="37.25" customHeight="1">
      <c r="A15" s="17" t="s">
        <v>17</v>
      </c>
      <c r="B15" s="17"/>
      <c r="C15" s="17"/>
      <c r="D15" s="17"/>
      <c r="E15" s="17"/>
      <c r="F15" s="17"/>
      <c r="G15" s="17"/>
      <c r="H15" s="17"/>
    </row>
    <row r="16" spans="1:8" ht="37.25" customHeight="1">
      <c r="A16" s="17" t="s">
        <v>18</v>
      </c>
      <c r="B16" s="17"/>
      <c r="C16" s="17"/>
      <c r="D16" s="17"/>
      <c r="E16" s="17"/>
      <c r="F16" s="17"/>
      <c r="G16" s="17"/>
      <c r="H16" s="17"/>
    </row>
    <row r="17" spans="1:8" ht="37.25" customHeight="1">
      <c r="A17" s="17" t="s">
        <v>19</v>
      </c>
      <c r="B17" s="17"/>
      <c r="C17" s="17"/>
      <c r="D17" s="17"/>
      <c r="E17" s="17"/>
      <c r="F17" s="17"/>
      <c r="G17" s="17"/>
      <c r="H17" s="17"/>
    </row>
  </sheetData>
  <mergeCells count="8">
    <mergeCell ref="A15:H15"/>
    <mergeCell ref="A16:H16"/>
    <mergeCell ref="A17:H17"/>
    <mergeCell ref="A1:H1"/>
    <mergeCell ref="A3:H3"/>
    <mergeCell ref="A12:H12"/>
    <mergeCell ref="A13:H13"/>
    <mergeCell ref="A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baseColWidth="10" defaultColWidth="8.83203125" defaultRowHeight="14"/>
  <cols>
    <col min="1" max="1" width="31" customWidth="1"/>
    <col min="2" max="2" width="18" customWidth="1"/>
    <col min="3" max="3" width="65" customWidth="1"/>
    <col min="4" max="4" width="18" customWidth="1"/>
  </cols>
  <sheetData>
    <row r="1" spans="1:4" ht="18">
      <c r="A1" s="16" t="s">
        <v>20</v>
      </c>
      <c r="B1" s="16"/>
      <c r="C1" s="16"/>
      <c r="D1" s="16"/>
    </row>
    <row r="3" spans="1:4" ht="15">
      <c r="A3" s="1" t="s">
        <v>21</v>
      </c>
      <c r="B3" s="1" t="s">
        <v>22</v>
      </c>
      <c r="C3" s="1" t="s">
        <v>3</v>
      </c>
      <c r="D3" s="1" t="s">
        <v>23</v>
      </c>
    </row>
    <row r="4" spans="1:4">
      <c r="A4" t="s">
        <v>24</v>
      </c>
      <c r="B4" s="3">
        <v>60922</v>
      </c>
      <c r="C4" s="3">
        <v>130497</v>
      </c>
      <c r="D4" s="2">
        <f t="shared" ref="D4:D9" si="0">C4/B4-1</f>
        <v>1.1420340763599355</v>
      </c>
    </row>
    <row r="5" spans="1:4">
      <c r="A5" t="s">
        <v>25</v>
      </c>
      <c r="B5" s="3">
        <v>44301</v>
      </c>
      <c r="C5" s="3">
        <v>97858</v>
      </c>
      <c r="D5" s="2">
        <f t="shared" si="0"/>
        <v>1.208934335568046</v>
      </c>
    </row>
    <row r="6" spans="1:4">
      <c r="A6" t="s">
        <v>26</v>
      </c>
      <c r="B6" s="3">
        <v>11329</v>
      </c>
      <c r="C6" s="3">
        <v>16405</v>
      </c>
      <c r="D6" s="2">
        <f t="shared" si="0"/>
        <v>0.44805366757878007</v>
      </c>
    </row>
    <row r="7" spans="1:4">
      <c r="A7" t="s">
        <v>27</v>
      </c>
      <c r="B7" s="3">
        <v>32972</v>
      </c>
      <c r="C7" s="3">
        <v>81453</v>
      </c>
      <c r="D7" s="2">
        <f t="shared" si="0"/>
        <v>1.470368797767803</v>
      </c>
    </row>
    <row r="8" spans="1:4">
      <c r="A8" t="s">
        <v>28</v>
      </c>
      <c r="B8" s="3">
        <v>29760</v>
      </c>
      <c r="C8" s="3">
        <v>72880</v>
      </c>
      <c r="D8" s="2">
        <f t="shared" si="0"/>
        <v>1.4489247311827955</v>
      </c>
    </row>
    <row r="9" spans="1:4">
      <c r="A9" t="s">
        <v>29</v>
      </c>
      <c r="B9" s="4">
        <v>1.19</v>
      </c>
      <c r="C9" s="4">
        <v>2.94</v>
      </c>
      <c r="D9" s="2">
        <f t="shared" si="0"/>
        <v>1.4705882352941178</v>
      </c>
    </row>
    <row r="11" spans="1:4" ht="15">
      <c r="A11" s="1" t="s">
        <v>30</v>
      </c>
      <c r="B11" s="1" t="s">
        <v>22</v>
      </c>
      <c r="C11" s="1" t="s">
        <v>3</v>
      </c>
      <c r="D11" s="1" t="s">
        <v>31</v>
      </c>
    </row>
    <row r="12" spans="1:4">
      <c r="A12" t="s">
        <v>32</v>
      </c>
      <c r="B12" s="2">
        <f>B5/B4</f>
        <v>0.72717573290436954</v>
      </c>
      <c r="C12" s="2">
        <f>C5/C4</f>
        <v>0.74988697058169917</v>
      </c>
      <c r="D12" s="2">
        <f>C12-B12</f>
        <v>2.2711237677329632E-2</v>
      </c>
    </row>
    <row r="13" spans="1:4">
      <c r="A13" t="s">
        <v>10</v>
      </c>
      <c r="B13" s="2">
        <f>B7/B4</f>
        <v>0.54121663766783756</v>
      </c>
      <c r="C13" s="2">
        <f>C7/C4</f>
        <v>0.62417526839697468</v>
      </c>
      <c r="D13" s="2">
        <f>C13-B13</f>
        <v>8.2958630729137117E-2</v>
      </c>
    </row>
    <row r="14" spans="1:4">
      <c r="A14" t="s">
        <v>12</v>
      </c>
      <c r="B14" s="2">
        <f>B8/B4</f>
        <v>0.4884934834706674</v>
      </c>
      <c r="C14" s="2">
        <f>C8/C4</f>
        <v>0.55848027157712443</v>
      </c>
      <c r="D14" s="2">
        <f>C14-B14</f>
        <v>6.9986788106457032E-2</v>
      </c>
    </row>
    <row r="15" spans="1:4">
      <c r="A15" t="s">
        <v>33</v>
      </c>
      <c r="B15" s="2">
        <f>B6/B4</f>
        <v>0.18595909523653195</v>
      </c>
      <c r="C15" s="2">
        <f>C6/C4</f>
        <v>0.12571170218472455</v>
      </c>
      <c r="D15" s="2">
        <f>C15-B15</f>
        <v>-6.0247393051807402E-2</v>
      </c>
    </row>
    <row r="18" spans="1:3" ht="15">
      <c r="A18" s="1" t="s">
        <v>34</v>
      </c>
      <c r="B18" s="1"/>
      <c r="C18" s="1"/>
    </row>
    <row r="19" spans="1:3" ht="30">
      <c r="A19" t="s">
        <v>22</v>
      </c>
      <c r="B19" t="s">
        <v>35</v>
      </c>
      <c r="C19" s="5" t="s">
        <v>36</v>
      </c>
    </row>
    <row r="20" spans="1:3" ht="30">
      <c r="A20" t="s">
        <v>3</v>
      </c>
      <c r="B20" t="s">
        <v>37</v>
      </c>
      <c r="C20" s="5" t="s">
        <v>38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baseColWidth="10" defaultColWidth="8.83203125" defaultRowHeight="14"/>
  <cols>
    <col min="1" max="1" width="29" customWidth="1"/>
    <col min="2" max="4" width="16" customWidth="1"/>
    <col min="6" max="8" width="18" customWidth="1"/>
  </cols>
  <sheetData>
    <row r="1" spans="1:8" ht="18">
      <c r="A1" s="16" t="s">
        <v>39</v>
      </c>
      <c r="B1" s="16"/>
      <c r="C1" s="16"/>
      <c r="D1" s="16"/>
    </row>
    <row r="3" spans="1:8" ht="15">
      <c r="A3" s="1" t="s">
        <v>40</v>
      </c>
      <c r="B3" s="1" t="s">
        <v>22</v>
      </c>
      <c r="C3" s="1" t="s">
        <v>3</v>
      </c>
      <c r="D3" s="1" t="s">
        <v>23</v>
      </c>
      <c r="F3" s="1" t="s">
        <v>41</v>
      </c>
      <c r="G3" s="1" t="s">
        <v>22</v>
      </c>
      <c r="H3" s="1" t="s">
        <v>3</v>
      </c>
    </row>
    <row r="4" spans="1:8">
      <c r="A4" t="s">
        <v>42</v>
      </c>
      <c r="B4" s="3">
        <v>47525</v>
      </c>
      <c r="C4" s="3">
        <v>115186</v>
      </c>
      <c r="D4" s="2">
        <f t="shared" ref="D4:D9" si="0">C4/B4-1</f>
        <v>1.4236927932667016</v>
      </c>
      <c r="F4" t="s">
        <v>43</v>
      </c>
      <c r="G4" s="2">
        <f>B4/$B$9</f>
        <v>0.78009586028035849</v>
      </c>
      <c r="H4" s="2">
        <f>C4/$C$9</f>
        <v>0.88267163229806045</v>
      </c>
    </row>
    <row r="5" spans="1:8">
      <c r="A5" t="s">
        <v>44</v>
      </c>
      <c r="B5" s="3">
        <v>10447</v>
      </c>
      <c r="C5" s="3">
        <v>11350</v>
      </c>
      <c r="D5" s="2">
        <f t="shared" si="0"/>
        <v>8.643629750167503E-2</v>
      </c>
      <c r="F5" t="s">
        <v>45</v>
      </c>
      <c r="G5" s="2">
        <f>B5/$B$9</f>
        <v>0.17148156659334887</v>
      </c>
      <c r="H5" s="2">
        <f>C5/$C$9</f>
        <v>8.6975179506042291E-2</v>
      </c>
    </row>
    <row r="6" spans="1:8">
      <c r="A6" t="s">
        <v>46</v>
      </c>
      <c r="B6" s="3">
        <v>1553</v>
      </c>
      <c r="C6" s="3">
        <v>1878</v>
      </c>
      <c r="D6" s="2">
        <f t="shared" si="0"/>
        <v>0.20927237604636195</v>
      </c>
      <c r="F6" t="s">
        <v>47</v>
      </c>
      <c r="G6" s="2">
        <f>B6/$B$9</f>
        <v>2.5491612225468634E-2</v>
      </c>
      <c r="H6" s="2">
        <f>C6/$C$9</f>
        <v>1.4391135428400653E-2</v>
      </c>
    </row>
    <row r="7" spans="1:8">
      <c r="A7" t="s">
        <v>48</v>
      </c>
      <c r="B7" s="3">
        <v>1091</v>
      </c>
      <c r="C7" s="3">
        <v>1694</v>
      </c>
      <c r="D7" s="2">
        <f t="shared" si="0"/>
        <v>0.55270394133822176</v>
      </c>
      <c r="F7" t="s">
        <v>49</v>
      </c>
      <c r="G7" s="2">
        <f>B7/$B$9</f>
        <v>1.7908144840944159E-2</v>
      </c>
      <c r="H7" s="2">
        <f>C7/$C$9</f>
        <v>1.2981141328919438E-2</v>
      </c>
    </row>
    <row r="8" spans="1:8">
      <c r="A8" t="s">
        <v>50</v>
      </c>
      <c r="B8" s="3">
        <v>306</v>
      </c>
      <c r="C8" s="3">
        <v>389</v>
      </c>
      <c r="D8" s="2">
        <f t="shared" si="0"/>
        <v>0.2712418300653594</v>
      </c>
      <c r="F8" t="s">
        <v>51</v>
      </c>
      <c r="G8" s="2">
        <f>B8/$B$9</f>
        <v>5.0228160598798461E-3</v>
      </c>
      <c r="H8" s="2">
        <f>C8/$C$9</f>
        <v>2.9809114385771322E-3</v>
      </c>
    </row>
    <row r="9" spans="1:8" ht="15">
      <c r="A9" s="6" t="s">
        <v>52</v>
      </c>
      <c r="B9" s="7">
        <v>60922</v>
      </c>
      <c r="C9" s="7">
        <v>130497</v>
      </c>
      <c r="D9" s="8">
        <f t="shared" si="0"/>
        <v>1.1420340763599355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/>
  </sheetViews>
  <sheetFormatPr baseColWidth="10" defaultColWidth="8.83203125" defaultRowHeight="14"/>
  <cols>
    <col min="1" max="1" width="28" customWidth="1"/>
    <col min="2" max="6" width="18" customWidth="1"/>
  </cols>
  <sheetData>
    <row r="1" spans="1:6" ht="18">
      <c r="A1" s="16" t="s">
        <v>53</v>
      </c>
      <c r="B1" s="16"/>
      <c r="C1" s="16"/>
      <c r="D1" s="16"/>
      <c r="E1" s="16"/>
      <c r="F1" s="16"/>
    </row>
    <row r="3" spans="1:6" ht="15">
      <c r="A3" s="14" t="s">
        <v>54</v>
      </c>
      <c r="B3" s="14"/>
      <c r="C3" s="14"/>
      <c r="D3" s="14"/>
      <c r="E3" s="14"/>
      <c r="F3" s="14"/>
    </row>
    <row r="4" spans="1:6" ht="37.25" customHeight="1">
      <c r="A4" s="15" t="s">
        <v>55</v>
      </c>
      <c r="B4" s="15"/>
      <c r="C4" s="15"/>
      <c r="D4" s="15"/>
      <c r="E4" s="15"/>
      <c r="F4" s="15"/>
    </row>
    <row r="5" spans="1:6" ht="37.25" customHeight="1">
      <c r="A5" s="15" t="s">
        <v>56</v>
      </c>
      <c r="B5" s="15"/>
      <c r="C5" s="15"/>
      <c r="D5" s="15"/>
      <c r="E5" s="15"/>
      <c r="F5" s="15"/>
    </row>
    <row r="6" spans="1:6" ht="37.25" customHeight="1">
      <c r="A6" s="15" t="s">
        <v>57</v>
      </c>
      <c r="B6" s="15"/>
      <c r="C6" s="15"/>
      <c r="D6" s="15"/>
      <c r="E6" s="15"/>
      <c r="F6" s="15"/>
    </row>
    <row r="8" spans="1:6" ht="15">
      <c r="A8" s="14" t="s">
        <v>58</v>
      </c>
      <c r="B8" s="14"/>
      <c r="C8" s="14"/>
      <c r="D8" s="14"/>
      <c r="E8" s="14"/>
      <c r="F8" s="14"/>
    </row>
    <row r="9" spans="1:6" ht="37.25" customHeight="1">
      <c r="A9" s="15" t="s">
        <v>59</v>
      </c>
      <c r="B9" s="15"/>
      <c r="C9" s="15"/>
      <c r="D9" s="15"/>
      <c r="E9" s="15"/>
      <c r="F9" s="15"/>
    </row>
    <row r="10" spans="1:6" ht="37.25" customHeight="1">
      <c r="A10" s="15" t="s">
        <v>60</v>
      </c>
      <c r="B10" s="15"/>
      <c r="C10" s="15"/>
      <c r="D10" s="15"/>
      <c r="E10" s="15"/>
      <c r="F10" s="15"/>
    </row>
    <row r="11" spans="1:6" ht="37.25" customHeight="1">
      <c r="A11" s="15" t="s">
        <v>61</v>
      </c>
      <c r="B11" s="15"/>
      <c r="C11" s="15"/>
      <c r="D11" s="15"/>
      <c r="E11" s="15"/>
      <c r="F11" s="15"/>
    </row>
    <row r="13" spans="1:6" ht="15">
      <c r="A13" s="14" t="s">
        <v>62</v>
      </c>
      <c r="B13" s="14"/>
      <c r="C13" s="14"/>
      <c r="D13" s="14"/>
      <c r="E13" s="14"/>
      <c r="F13" s="14"/>
    </row>
    <row r="14" spans="1:6" ht="37.25" customHeight="1">
      <c r="A14" s="15" t="s">
        <v>63</v>
      </c>
      <c r="B14" s="15"/>
      <c r="C14" s="15"/>
      <c r="D14" s="15"/>
      <c r="E14" s="15"/>
      <c r="F14" s="15"/>
    </row>
    <row r="15" spans="1:6" ht="37.25" customHeight="1">
      <c r="A15" s="15" t="s">
        <v>64</v>
      </c>
      <c r="B15" s="15"/>
      <c r="C15" s="15"/>
      <c r="D15" s="15"/>
      <c r="E15" s="15"/>
      <c r="F15" s="15"/>
    </row>
    <row r="16" spans="1:6" ht="37.25" customHeight="1">
      <c r="A16" s="15" t="s">
        <v>65</v>
      </c>
      <c r="B16" s="15"/>
      <c r="C16" s="15"/>
      <c r="D16" s="15"/>
      <c r="E16" s="15"/>
      <c r="F16" s="15"/>
    </row>
  </sheetData>
  <mergeCells count="13">
    <mergeCell ref="A14:F14"/>
    <mergeCell ref="A15:F15"/>
    <mergeCell ref="A16:F16"/>
    <mergeCell ref="A8:F8"/>
    <mergeCell ref="A9:F9"/>
    <mergeCell ref="A10:F10"/>
    <mergeCell ref="A11:F11"/>
    <mergeCell ref="A13:F13"/>
    <mergeCell ref="A1:F1"/>
    <mergeCell ref="A3:F3"/>
    <mergeCell ref="A4:F4"/>
    <mergeCell ref="A5:F5"/>
    <mergeCell ref="A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/>
  </sheetViews>
  <sheetFormatPr baseColWidth="10" defaultColWidth="8.83203125" defaultRowHeight="14"/>
  <cols>
    <col min="1" max="1" width="28" customWidth="1"/>
    <col min="2" max="2" width="42" customWidth="1"/>
    <col min="3" max="3" width="70" customWidth="1"/>
  </cols>
  <sheetData>
    <row r="1" spans="1:3" ht="16">
      <c r="A1" s="12" t="s">
        <v>66</v>
      </c>
      <c r="B1" s="12" t="s">
        <v>67</v>
      </c>
      <c r="C1" s="12" t="s">
        <v>68</v>
      </c>
    </row>
    <row r="2" spans="1:3" ht="30">
      <c r="A2" s="5" t="s">
        <v>69</v>
      </c>
      <c r="B2" s="5" t="s">
        <v>70</v>
      </c>
      <c r="C2" s="5" t="s">
        <v>38</v>
      </c>
    </row>
    <row r="3" spans="1:3" ht="30">
      <c r="A3" s="5" t="s">
        <v>71</v>
      </c>
      <c r="B3" s="5" t="s">
        <v>72</v>
      </c>
      <c r="C3" s="5" t="s">
        <v>36</v>
      </c>
    </row>
    <row r="4" spans="1:3" ht="15">
      <c r="A4" s="5" t="s">
        <v>73</v>
      </c>
      <c r="B4" s="5" t="s">
        <v>74</v>
      </c>
      <c r="C4" s="5" t="s">
        <v>75</v>
      </c>
    </row>
    <row r="5" spans="1:3">
      <c r="A5" s="5"/>
      <c r="B5" s="5"/>
      <c r="C5" s="5"/>
    </row>
    <row r="6" spans="1:3">
      <c r="A6" s="5"/>
      <c r="B6" s="5"/>
      <c r="C6" s="5"/>
    </row>
    <row r="7" spans="1:3">
      <c r="A7" s="5"/>
      <c r="B7" s="5"/>
      <c r="C7" s="5"/>
    </row>
    <row r="8" spans="1:3">
      <c r="A8" s="5"/>
      <c r="B8" s="5"/>
      <c r="C8" s="5"/>
    </row>
    <row r="9" spans="1:3">
      <c r="A9" s="5"/>
      <c r="B9" s="5"/>
      <c r="C9" s="5"/>
    </row>
    <row r="10" spans="1:3">
      <c r="A10" s="5"/>
      <c r="B10" s="5"/>
      <c r="C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Financials</vt:lpstr>
      <vt:lpstr>Revenue Mix</vt:lpstr>
      <vt:lpstr>Investment Thesis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Jiang</cp:lastModifiedBy>
  <dcterms:modified xsi:type="dcterms:W3CDTF">2026-09-30T03:06:21Z</dcterms:modified>
</cp:coreProperties>
</file>